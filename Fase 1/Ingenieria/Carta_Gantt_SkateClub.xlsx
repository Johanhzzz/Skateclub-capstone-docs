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Detalle de Sprints" sheetId="2" state="visible" r:id="rId4"/>
    <sheet name="Backlog (Épicas)" sheetId="3" state="visible" r:id="rId5"/>
  </sheets>
  <definedNames>
    <definedName function="false" hidden="false" localSheetId="0" name="_xlnm.Print_Area" vbProcedure="false">'Carta Gantt'!$B$2:$T$37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2" authorId="0">
      <text>
        <r>
          <rPr>
            <sz val="10"/>
            <rFont val="Arial"/>
            <family val="2"/>
          </rPr>
          <t xml:space="preserve">Eval. Fase 1 (20%)</t>
        </r>
      </text>
    </comment>
    <comment ref="L22" authorId="0">
      <text>
        <r>
          <rPr>
            <sz val="10"/>
            <rFont val="Arial"/>
            <family val="2"/>
          </rPr>
          <t xml:space="preserve">Eval. Avance Fase 2 (20%)</t>
        </r>
      </text>
    </comment>
    <comment ref="Q22" authorId="0">
      <text>
        <r>
          <rPr>
            <sz val="10"/>
            <rFont val="Arial"/>
            <family val="2"/>
          </rPr>
          <t xml:space="preserve">Eval. Final Fase 2 (30%)</t>
        </r>
      </text>
    </comment>
    <comment ref="T22" authorId="0">
      <text>
        <r>
          <rPr>
            <sz val="10"/>
            <rFont val="Arial"/>
            <family val="2"/>
          </rPr>
          <t xml:space="preserve">Eval. Fase 3 (30%)</t>
        </r>
      </text>
    </comment>
  </commentList>
</comments>
</file>

<file path=xl/sharedStrings.xml><?xml version="1.0" encoding="utf-8"?>
<sst xmlns="http://schemas.openxmlformats.org/spreadsheetml/2006/main" count="149" uniqueCount="120">
  <si>
    <t xml:space="preserve">Carta Gantt — Proyecto SkateClub</t>
  </si>
  <si>
    <t xml:space="preserve">itería SYSTEMS · Estudio GrindOps — CAPSTONE PTY4614 — Duoc UC, sede Plaza Norte — 2026-2</t>
  </si>
  <si>
    <t xml:space="preserve">Fecha de inicio Semana 1 (lunes):</t>
  </si>
  <si>
    <t xml:space="preserve">← única celda a editar si cambia el calendario oficial</t>
  </si>
  <si>
    <t xml:space="preserve">Semana actual (hoy):</t>
  </si>
  <si>
    <t xml:space="preserve">← actualizar cada semana para mover el marcador HOY</t>
  </si>
  <si>
    <t xml:space="preserve">Actividad / Sprint</t>
  </si>
  <si>
    <t xml:space="preserve">(inicio semana → lunes)</t>
  </si>
  <si>
    <t xml:space="preserve">Fase 1 · Definición del Proyecto</t>
  </si>
  <si>
    <t xml:space="preserve">Sprint 0 · Preparación (ERS, backlog, arquitectura)</t>
  </si>
  <si>
    <t xml:space="preserve">Sprint 1 · Usuarios y autenticación base</t>
  </si>
  <si>
    <t xml:space="preserve">Sprint 2 · Spots y mapa</t>
  </si>
  <si>
    <t xml:space="preserve">Sprint 3 · Comunidad social y mensajería</t>
  </si>
  <si>
    <t xml:space="preserve">Sprint 4 · Eventos y gamificación</t>
  </si>
  <si>
    <t xml:space="preserve">Sprint 5 · Recompensas y administración</t>
  </si>
  <si>
    <t xml:space="preserve">Sprint 6 · Seguridad y calidad</t>
  </si>
  <si>
    <t xml:space="preserve">Sprint 7 · Estabilización y documentación</t>
  </si>
  <si>
    <t xml:space="preserve">Buffer y cierre — Informe Final Fase 2</t>
  </si>
  <si>
    <t xml:space="preserve">Fase 3 · Presentación a comisión</t>
  </si>
  <si>
    <t xml:space="preserve">Hitos de evaluación</t>
  </si>
  <si>
    <t xml:space="preserve">◆</t>
  </si>
  <si>
    <t xml:space="preserve">Leyenda</t>
  </si>
  <si>
    <t xml:space="preserve">Completado</t>
  </si>
  <si>
    <t xml:space="preserve">En curso</t>
  </si>
  <si>
    <t xml:space="preserve">Planificado</t>
  </si>
  <si>
    <t xml:space="preserve">Semana actual</t>
  </si>
  <si>
    <t xml:space="preserve">Hito de evaluación (pasar el mouse para ver detalle)</t>
  </si>
  <si>
    <t xml:space="preserve">Supuestos de planificación:</t>
  </si>
  <si>
    <t xml:space="preserve">• Fechas base tomadas del cronograma oficial PTY4614 (Semana 1 = lunes 10-08-2026).</t>
  </si>
  <si>
    <t xml:space="preserve">• Sprint 0 (preparación: ERS, backlog, plan de sprints) se ejecutó en las semanas 5-6, en paralelo al cierre de Fase 1.</t>
  </si>
  <si>
    <t xml:space="preserve">• Los Sprints 2 a 7 se comprimieron a 1 semana cada uno (desde 2 semanas del plan original) porque gran parte de esas funcionalidades ya existen en producción: el trabajo real es formalizar, asegurar y documentar, no construir desde cero.</t>
  </si>
  <si>
    <t xml:space="preserve">• La semana 15 queda como buffer de estabilización y entrega del Informe Final de Fase 2, coincidiendo con la evaluación oficial de esa semana.</t>
  </si>
  <si>
    <t xml:space="preserve">• Actualiza la celda E6 cada semana para mover el marcador de 'semana actual' sin tener que editar el resto de la carta.</t>
  </si>
  <si>
    <t xml:space="preserve">Detalle de Sprints — Proyecto SkateClub</t>
  </si>
  <si>
    <t xml:space="preserve">Fechas calculadas automáticamente desde la fecha de inicio definida en la hoja 'Carta Gantt' (celda E5).</t>
  </si>
  <si>
    <t xml:space="preserve">Sprint</t>
  </si>
  <si>
    <t xml:space="preserve">Objetivo</t>
  </si>
  <si>
    <t xml:space="preserve">Épicas cubiertas</t>
  </si>
  <si>
    <t xml:space="preserve">Semanas</t>
  </si>
  <si>
    <t xml:space="preserve">Inicio</t>
  </si>
  <si>
    <t xml:space="preserve">Término</t>
  </si>
  <si>
    <t xml:space="preserve">Estado</t>
  </si>
  <si>
    <t xml:space="preserve">Fase 1 · Definición</t>
  </si>
  <si>
    <t xml:space="preserve">Definir visión, problema, objetivos y alcance del proyecto.</t>
  </si>
  <si>
    <t xml:space="preserve">—</t>
  </si>
  <si>
    <t xml:space="preserve">1-4</t>
  </si>
  <si>
    <t xml:space="preserve">Sprint 0 · Preparación</t>
  </si>
  <si>
    <t xml:space="preserve">Dejar bases de trabajo: ERS, backlog priorizado y plan de sprints.</t>
  </si>
  <si>
    <t xml:space="preserve">Transversal</t>
  </si>
  <si>
    <t xml:space="preserve">5-6</t>
  </si>
  <si>
    <t xml:space="preserve">Sprint 1 · Usuarios y autenticación</t>
  </si>
  <si>
    <t xml:space="preserve">Permitir registro, verificación, login seguro y perfil inicial.</t>
  </si>
  <si>
    <t xml:space="preserve">EP-01</t>
  </si>
  <si>
    <t xml:space="preserve">7-8</t>
  </si>
  <si>
    <t xml:space="preserve">Construir el núcleo geográfico: crear, buscar y calificar spots.</t>
  </si>
  <si>
    <t xml:space="preserve">EP-02</t>
  </si>
  <si>
    <t xml:space="preserve">9</t>
  </si>
  <si>
    <t xml:space="preserve">Sprint 3 · Comunidad social</t>
  </si>
  <si>
    <t xml:space="preserve">Habilitar feed, interacción social, mensajería y amistades.</t>
  </si>
  <si>
    <t xml:space="preserve">EP-03, EP-04</t>
  </si>
  <si>
    <t xml:space="preserve">10</t>
  </si>
  <si>
    <t xml:space="preserve">Aumentar participación mediante eventos, duelos y ranking.</t>
  </si>
  <si>
    <t xml:space="preserve">EP-05, EP-06</t>
  </si>
  <si>
    <t xml:space="preserve">11</t>
  </si>
  <si>
    <t xml:space="preserve">Implementar economía de puntos, canje QR y panel admin.</t>
  </si>
  <si>
    <t xml:space="preserve">EP-07, EP-08</t>
  </si>
  <si>
    <t xml:space="preserve">12</t>
  </si>
  <si>
    <t xml:space="preserve">Cerrar riesgos críticos: auth real por token, autorización admin, pruebas negativas.</t>
  </si>
  <si>
    <t xml:space="preserve">EP-09</t>
  </si>
  <si>
    <t xml:space="preserve">13</t>
  </si>
  <si>
    <t xml:space="preserve">Cerrar bugs, manuales, evidencia y preparar demo.</t>
  </si>
  <si>
    <t xml:space="preserve">EP-10</t>
  </si>
  <si>
    <t xml:space="preserve">14</t>
  </si>
  <si>
    <t xml:space="preserve">Buffer · Informe Final Fase 2</t>
  </si>
  <si>
    <t xml:space="preserve">Consolidar informe final y evidencias para la evaluación de cierre.</t>
  </si>
  <si>
    <t xml:space="preserve">15</t>
  </si>
  <si>
    <t xml:space="preserve">Fase 3 · Presentación</t>
  </si>
  <si>
    <t xml:space="preserve">Exponer el proyecto ante la comisión evaluadora.</t>
  </si>
  <si>
    <t xml:space="preserve">16-18</t>
  </si>
  <si>
    <t xml:space="preserve">Backlog — Épicas del Proyecto SkateClub</t>
  </si>
  <si>
    <t xml:space="preserve">Detalle completo de historias de usuario en el documento 03_backlog_historias_usuario.md del repositorio.</t>
  </si>
  <si>
    <t xml:space="preserve">Código</t>
  </si>
  <si>
    <t xml:space="preserve">Épica</t>
  </si>
  <si>
    <t xml:space="preserve">Descripción</t>
  </si>
  <si>
    <t xml:space="preserve">Sprint principal</t>
  </si>
  <si>
    <t xml:space="preserve">N.° HDU</t>
  </si>
  <si>
    <t xml:space="preserve">Gestión de usuarios y autenticación</t>
  </si>
  <si>
    <t xml:space="preserve">Registro, login, recuperación, sesión segura y perfil.</t>
  </si>
  <si>
    <t xml:space="preserve">Sprint 1</t>
  </si>
  <si>
    <t xml:space="preserve">Spots y mapa</t>
  </si>
  <si>
    <t xml:space="preserve">Creación, búsqueda, calificación y visualización de spots.</t>
  </si>
  <si>
    <t xml:space="preserve">Sprint 2</t>
  </si>
  <si>
    <t xml:space="preserve">EP-03</t>
  </si>
  <si>
    <t xml:space="preserve">Comunidad social</t>
  </si>
  <si>
    <t xml:space="preserve">Feed, publicaciones, comentarios, likes y perfiles públicos.</t>
  </si>
  <si>
    <t xml:space="preserve">Sprint 3</t>
  </si>
  <si>
    <t xml:space="preserve">EP-04</t>
  </si>
  <si>
    <t xml:space="preserve">Mensajería y relaciones</t>
  </si>
  <si>
    <t xml:space="preserve">Mensajes privados y amistades.</t>
  </si>
  <si>
    <t xml:space="preserve">EP-05</t>
  </si>
  <si>
    <t xml:space="preserve">Retos y gamificación</t>
  </si>
  <si>
    <t xml:space="preserve">Duelos, puntos, ranking, insignias y minijuego.</t>
  </si>
  <si>
    <t xml:space="preserve">Sprint 4</t>
  </si>
  <si>
    <t xml:space="preserve">EP-06</t>
  </si>
  <si>
    <t xml:space="preserve">Eventos</t>
  </si>
  <si>
    <t xml:space="preserve">Creación, asistencia, preguntas y detalle de eventos.</t>
  </si>
  <si>
    <t xml:space="preserve">EP-07</t>
  </si>
  <si>
    <t xml:space="preserve">Recompensas y locales</t>
  </si>
  <si>
    <t xml:space="preserve">Canje de puntos, QR, validación y gestión de premios.</t>
  </si>
  <si>
    <t xml:space="preserve">Sprint 5</t>
  </si>
  <si>
    <t xml:space="preserve">EP-08</t>
  </si>
  <si>
    <t xml:space="preserve">Administración</t>
  </si>
  <si>
    <t xml:space="preserve">Panel admin, gestión de contenido y roles.</t>
  </si>
  <si>
    <t xml:space="preserve">Seguridad y calidad</t>
  </si>
  <si>
    <t xml:space="preserve">Autenticación real, pruebas, CI, observabilidad y hardening.</t>
  </si>
  <si>
    <t xml:space="preserve">Sprint 6</t>
  </si>
  <si>
    <t xml:space="preserve">Despliegue y documentación</t>
  </si>
  <si>
    <t xml:space="preserve">Entornos, deploy, manuales y evidencia académica.</t>
  </si>
  <si>
    <t xml:space="preserve">Sprint 7</t>
  </si>
  <si>
    <t xml:space="preserve">Total historias de usuario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</si>
</sst>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dd\-mm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7"/>
      <color rgb="FF808080"/>
      <name val="Arial"/>
      <family val="0"/>
      <charset val="1"/>
    </font>
    <font>
      <sz val="7"/>
      <color rgb="FF595959"/>
      <name val="Arial"/>
      <family val="0"/>
      <charset val="1"/>
    </font>
    <font>
      <sz val="8"/>
      <color rgb="FF1F1F1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9"/>
      <color rgb="FF1F1F1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70AD47"/>
        <bgColor rgb="FF339966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BDD7EE"/>
        <bgColor rgb="FFC6E0B4"/>
      </patternFill>
    </fill>
    <fill>
      <patternFill patternType="solid">
        <fgColor rgb="FFC6E0B4"/>
        <bgColor rgb="FFBDD7EE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C00000"/>
      </left>
      <right style="medium">
        <color rgb="FFC00000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T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0"/>
    <col collapsed="false" customWidth="true" hidden="false" outlineLevel="0" max="20" min="3" style="1" width="4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E5" s="5" t="n">
        <v>46244</v>
      </c>
      <c r="F5" s="5"/>
      <c r="G5" s="5"/>
      <c r="H5" s="5"/>
      <c r="I5" s="6" t="s">
        <v>3</v>
      </c>
    </row>
    <row r="6" customFormat="false" ht="15" hidden="false" customHeight="true" outlineLevel="0" collapsed="false">
      <c r="B6" s="4" t="s">
        <v>4</v>
      </c>
      <c r="E6" s="7" t="n">
        <v>7</v>
      </c>
      <c r="F6" s="7"/>
      <c r="G6" s="7"/>
      <c r="H6" s="7"/>
      <c r="I6" s="6" t="s">
        <v>5</v>
      </c>
    </row>
    <row r="9" customFormat="false" ht="15.75" hidden="false" customHeight="true" outlineLevel="0" collapsed="false">
      <c r="B9" s="8" t="s">
        <v>6</v>
      </c>
      <c r="C9" s="9" t="n">
        <v>1</v>
      </c>
      <c r="D9" s="9" t="n">
        <v>2</v>
      </c>
      <c r="E9" s="9" t="n">
        <v>3</v>
      </c>
      <c r="F9" s="9" t="n">
        <v>4</v>
      </c>
      <c r="G9" s="9" t="n">
        <v>5</v>
      </c>
      <c r="H9" s="9" t="n">
        <v>6</v>
      </c>
      <c r="I9" s="10" t="n">
        <v>7</v>
      </c>
      <c r="J9" s="9" t="n">
        <v>8</v>
      </c>
      <c r="K9" s="9" t="n">
        <v>9</v>
      </c>
      <c r="L9" s="9" t="n">
        <v>10</v>
      </c>
      <c r="M9" s="9" t="n">
        <v>11</v>
      </c>
      <c r="N9" s="9" t="n">
        <v>12</v>
      </c>
      <c r="O9" s="9" t="n">
        <v>13</v>
      </c>
      <c r="P9" s="9" t="n">
        <v>14</v>
      </c>
      <c r="Q9" s="9" t="n">
        <v>15</v>
      </c>
      <c r="R9" s="9" t="n">
        <v>16</v>
      </c>
      <c r="S9" s="9" t="n">
        <v>17</v>
      </c>
      <c r="T9" s="9" t="n">
        <v>18</v>
      </c>
    </row>
    <row r="10" customFormat="false" ht="12.75" hidden="false" customHeight="true" outlineLevel="0" collapsed="false">
      <c r="B10" s="11" t="s">
        <v>7</v>
      </c>
      <c r="C10" s="12" t="n">
        <f aca="false">$E$5+(1-1)*7</f>
        <v>46244</v>
      </c>
      <c r="D10" s="12" t="n">
        <f aca="false">$E$5+(2-1)*7</f>
        <v>46251</v>
      </c>
      <c r="E10" s="12" t="n">
        <f aca="false">$E$5+(3-1)*7</f>
        <v>46258</v>
      </c>
      <c r="F10" s="12" t="n">
        <f aca="false">$E$5+(4-1)*7</f>
        <v>46265</v>
      </c>
      <c r="G10" s="12" t="n">
        <f aca="false">$E$5+(5-1)*7</f>
        <v>46272</v>
      </c>
      <c r="H10" s="12" t="n">
        <f aca="false">$E$5+(6-1)*7</f>
        <v>46279</v>
      </c>
      <c r="I10" s="13" t="n">
        <f aca="false">$E$5+(7-1)*7</f>
        <v>46286</v>
      </c>
      <c r="J10" s="12" t="n">
        <f aca="false">$E$5+(8-1)*7</f>
        <v>46293</v>
      </c>
      <c r="K10" s="12" t="n">
        <f aca="false">$E$5+(9-1)*7</f>
        <v>46300</v>
      </c>
      <c r="L10" s="12" t="n">
        <f aca="false">$E$5+(10-1)*7</f>
        <v>46307</v>
      </c>
      <c r="M10" s="12" t="n">
        <f aca="false">$E$5+(11-1)*7</f>
        <v>46314</v>
      </c>
      <c r="N10" s="12" t="n">
        <f aca="false">$E$5+(12-1)*7</f>
        <v>46321</v>
      </c>
      <c r="O10" s="12" t="n">
        <f aca="false">$E$5+(13-1)*7</f>
        <v>46328</v>
      </c>
      <c r="P10" s="12" t="n">
        <f aca="false">$E$5+(14-1)*7</f>
        <v>46335</v>
      </c>
      <c r="Q10" s="12" t="n">
        <f aca="false">$E$5+(15-1)*7</f>
        <v>46342</v>
      </c>
      <c r="R10" s="12" t="n">
        <f aca="false">$E$5+(16-1)*7</f>
        <v>46349</v>
      </c>
      <c r="S10" s="12" t="n">
        <f aca="false">$E$5+(17-1)*7</f>
        <v>46356</v>
      </c>
      <c r="T10" s="12" t="n">
        <f aca="false">$E$5+(18-1)*7</f>
        <v>46363</v>
      </c>
    </row>
    <row r="11" customFormat="false" ht="15" hidden="false" customHeight="true" outlineLevel="0" collapsed="false">
      <c r="B11" s="14" t="s">
        <v>8</v>
      </c>
      <c r="C11" s="15"/>
      <c r="D11" s="15"/>
      <c r="E11" s="15"/>
      <c r="F11" s="15"/>
      <c r="G11" s="16"/>
      <c r="H11" s="16"/>
      <c r="I11" s="17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customFormat="false" ht="15" hidden="false" customHeight="true" outlineLevel="0" collapsed="false">
      <c r="B12" s="14" t="s">
        <v>9</v>
      </c>
      <c r="C12" s="16"/>
      <c r="D12" s="16"/>
      <c r="E12" s="16"/>
      <c r="F12" s="16"/>
      <c r="G12" s="15"/>
      <c r="H12" s="15"/>
      <c r="I12" s="17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customFormat="false" ht="15" hidden="false" customHeight="true" outlineLevel="0" collapsed="false">
      <c r="B13" s="14" t="s">
        <v>10</v>
      </c>
      <c r="C13" s="16"/>
      <c r="D13" s="16"/>
      <c r="E13" s="16"/>
      <c r="F13" s="16"/>
      <c r="G13" s="16"/>
      <c r="H13" s="16"/>
      <c r="I13" s="18"/>
      <c r="J13" s="19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customFormat="false" ht="15" hidden="false" customHeight="true" outlineLevel="0" collapsed="false">
      <c r="B14" s="14" t="s">
        <v>11</v>
      </c>
      <c r="C14" s="16"/>
      <c r="D14" s="16"/>
      <c r="E14" s="16"/>
      <c r="F14" s="16"/>
      <c r="G14" s="16"/>
      <c r="H14" s="16"/>
      <c r="I14" s="17"/>
      <c r="J14" s="16"/>
      <c r="K14" s="20"/>
      <c r="L14" s="16"/>
      <c r="M14" s="16"/>
      <c r="N14" s="16"/>
      <c r="O14" s="16"/>
      <c r="P14" s="16"/>
      <c r="Q14" s="16"/>
      <c r="R14" s="16"/>
      <c r="S14" s="16"/>
      <c r="T14" s="16"/>
    </row>
    <row r="15" customFormat="false" ht="15" hidden="false" customHeight="true" outlineLevel="0" collapsed="false">
      <c r="B15" s="14" t="s">
        <v>12</v>
      </c>
      <c r="C15" s="16"/>
      <c r="D15" s="16"/>
      <c r="E15" s="16"/>
      <c r="F15" s="16"/>
      <c r="G15" s="16"/>
      <c r="H15" s="16"/>
      <c r="I15" s="17"/>
      <c r="J15" s="16"/>
      <c r="K15" s="16"/>
      <c r="L15" s="20"/>
      <c r="M15" s="16"/>
      <c r="N15" s="16"/>
      <c r="O15" s="16"/>
      <c r="P15" s="16"/>
      <c r="Q15" s="16"/>
      <c r="R15" s="16"/>
      <c r="S15" s="16"/>
      <c r="T15" s="16"/>
    </row>
    <row r="16" customFormat="false" ht="15" hidden="false" customHeight="true" outlineLevel="0" collapsed="false">
      <c r="B16" s="14" t="s">
        <v>13</v>
      </c>
      <c r="C16" s="16"/>
      <c r="D16" s="16"/>
      <c r="E16" s="16"/>
      <c r="F16" s="16"/>
      <c r="G16" s="16"/>
      <c r="H16" s="16"/>
      <c r="I16" s="17"/>
      <c r="J16" s="16"/>
      <c r="K16" s="16"/>
      <c r="L16" s="16"/>
      <c r="M16" s="20"/>
      <c r="N16" s="16"/>
      <c r="O16" s="16"/>
      <c r="P16" s="16"/>
      <c r="Q16" s="16"/>
      <c r="R16" s="16"/>
      <c r="S16" s="16"/>
      <c r="T16" s="16"/>
    </row>
    <row r="17" customFormat="false" ht="15" hidden="false" customHeight="true" outlineLevel="0" collapsed="false">
      <c r="B17" s="14" t="s">
        <v>14</v>
      </c>
      <c r="C17" s="16"/>
      <c r="D17" s="16"/>
      <c r="E17" s="16"/>
      <c r="F17" s="16"/>
      <c r="G17" s="16"/>
      <c r="H17" s="16"/>
      <c r="I17" s="17"/>
      <c r="J17" s="16"/>
      <c r="K17" s="16"/>
      <c r="L17" s="16"/>
      <c r="M17" s="16"/>
      <c r="N17" s="20"/>
      <c r="O17" s="16"/>
      <c r="P17" s="16"/>
      <c r="Q17" s="16"/>
      <c r="R17" s="16"/>
      <c r="S17" s="16"/>
      <c r="T17" s="16"/>
    </row>
    <row r="18" customFormat="false" ht="15" hidden="false" customHeight="true" outlineLevel="0" collapsed="false">
      <c r="B18" s="14" t="s">
        <v>15</v>
      </c>
      <c r="C18" s="16"/>
      <c r="D18" s="16"/>
      <c r="E18" s="16"/>
      <c r="F18" s="16"/>
      <c r="G18" s="16"/>
      <c r="H18" s="16"/>
      <c r="I18" s="17"/>
      <c r="J18" s="16"/>
      <c r="K18" s="16"/>
      <c r="L18" s="16"/>
      <c r="M18" s="16"/>
      <c r="N18" s="16"/>
      <c r="O18" s="20"/>
      <c r="P18" s="16"/>
      <c r="Q18" s="16"/>
      <c r="R18" s="16"/>
      <c r="S18" s="16"/>
      <c r="T18" s="16"/>
    </row>
    <row r="19" customFormat="false" ht="15" hidden="false" customHeight="true" outlineLevel="0" collapsed="false">
      <c r="B19" s="14" t="s">
        <v>16</v>
      </c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16"/>
      <c r="N19" s="16"/>
      <c r="O19" s="16"/>
      <c r="P19" s="20"/>
      <c r="Q19" s="16"/>
      <c r="R19" s="16"/>
      <c r="S19" s="16"/>
      <c r="T19" s="16"/>
    </row>
    <row r="20" customFormat="false" ht="15" hidden="false" customHeight="true" outlineLevel="0" collapsed="false">
      <c r="B20" s="14" t="s">
        <v>17</v>
      </c>
      <c r="C20" s="16"/>
      <c r="D20" s="16"/>
      <c r="E20" s="16"/>
      <c r="F20" s="16"/>
      <c r="G20" s="16"/>
      <c r="H20" s="16"/>
      <c r="I20" s="17"/>
      <c r="J20" s="16"/>
      <c r="K20" s="16"/>
      <c r="L20" s="16"/>
      <c r="M20" s="16"/>
      <c r="N20" s="16"/>
      <c r="O20" s="16"/>
      <c r="P20" s="16"/>
      <c r="Q20" s="20"/>
      <c r="R20" s="16"/>
      <c r="S20" s="16"/>
      <c r="T20" s="16"/>
    </row>
    <row r="21" customFormat="false" ht="15" hidden="false" customHeight="true" outlineLevel="0" collapsed="false">
      <c r="B21" s="14" t="s">
        <v>18</v>
      </c>
      <c r="C21" s="16"/>
      <c r="D21" s="16"/>
      <c r="E21" s="16"/>
      <c r="F21" s="16"/>
      <c r="G21" s="16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20"/>
      <c r="S21" s="20"/>
      <c r="T21" s="20"/>
    </row>
    <row r="22" customFormat="false" ht="15" hidden="false" customHeight="true" outlineLevel="0" collapsed="false">
      <c r="B22" s="21" t="s">
        <v>19</v>
      </c>
      <c r="C22" s="16"/>
      <c r="D22" s="16"/>
      <c r="E22" s="16"/>
      <c r="F22" s="22" t="s">
        <v>20</v>
      </c>
      <c r="G22" s="16"/>
      <c r="H22" s="16"/>
      <c r="I22" s="17"/>
      <c r="J22" s="16"/>
      <c r="K22" s="16"/>
      <c r="L22" s="22" t="s">
        <v>20</v>
      </c>
      <c r="M22" s="16"/>
      <c r="N22" s="16"/>
      <c r="O22" s="16"/>
      <c r="P22" s="16"/>
      <c r="Q22" s="22" t="s">
        <v>20</v>
      </c>
      <c r="R22" s="16"/>
      <c r="S22" s="16"/>
      <c r="T22" s="22" t="s">
        <v>20</v>
      </c>
    </row>
    <row r="24" customFormat="false" ht="15" hidden="false" customHeight="true" outlineLevel="0" collapsed="false">
      <c r="B24" s="23" t="s">
        <v>21</v>
      </c>
    </row>
    <row r="25" customFormat="false" ht="15" hidden="false" customHeight="true" outlineLevel="0" collapsed="false">
      <c r="B25" s="24"/>
      <c r="C25" s="25" t="s">
        <v>22</v>
      </c>
    </row>
    <row r="26" customFormat="false" ht="15" hidden="false" customHeight="true" outlineLevel="0" collapsed="false">
      <c r="B26" s="26"/>
      <c r="C26" s="25" t="s">
        <v>23</v>
      </c>
    </row>
    <row r="27" customFormat="false" ht="15" hidden="false" customHeight="true" outlineLevel="0" collapsed="false">
      <c r="B27" s="27"/>
      <c r="C27" s="25" t="s">
        <v>24</v>
      </c>
    </row>
    <row r="28" customFormat="false" ht="15" hidden="false" customHeight="true" outlineLevel="0" collapsed="false">
      <c r="B28" s="28"/>
      <c r="C28" s="25" t="s">
        <v>25</v>
      </c>
    </row>
    <row r="29" customFormat="false" ht="15" hidden="false" customHeight="true" outlineLevel="0" collapsed="false">
      <c r="B29" s="29" t="s">
        <v>20</v>
      </c>
      <c r="C29" s="25" t="s">
        <v>26</v>
      </c>
    </row>
    <row r="31" customFormat="false" ht="15" hidden="false" customHeight="true" outlineLevel="0" collapsed="false">
      <c r="B31" s="30" t="s">
        <v>27</v>
      </c>
    </row>
    <row r="32" customFormat="false" ht="24" hidden="false" customHeight="true" outlineLevel="0" collapsed="false">
      <c r="B32" s="31" t="s">
        <v>28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</row>
    <row r="33" customFormat="false" ht="24" hidden="false" customHeight="true" outlineLevel="0" collapsed="false">
      <c r="B33" s="31" t="s">
        <v>29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</row>
    <row r="34" customFormat="false" ht="24" hidden="false" customHeight="true" outlineLevel="0" collapsed="false">
      <c r="B34" s="31" t="s">
        <v>30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</row>
    <row r="35" customFormat="false" ht="24" hidden="false" customHeight="true" outlineLevel="0" collapsed="false">
      <c r="B35" s="31" t="s">
        <v>31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</row>
    <row r="36" customFormat="false" ht="24" hidden="false" customHeight="true" outlineLevel="0" collapsed="false">
      <c r="B36" s="31" t="s">
        <v>32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</row>
  </sheetData>
  <mergeCells count="7">
    <mergeCell ref="E5:H5"/>
    <mergeCell ref="E6:H6"/>
    <mergeCell ref="B32:T32"/>
    <mergeCell ref="B33:T33"/>
    <mergeCell ref="B34:T34"/>
    <mergeCell ref="B35:T35"/>
    <mergeCell ref="B36:T3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0"/>
    <col collapsed="false" customWidth="true" hidden="false" outlineLevel="0" max="3" min="3" style="1" width="32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7" min="6" style="1" width="11"/>
    <col collapsed="false" customWidth="true" hidden="false" outlineLevel="0" max="8" min="8" style="1" width="12"/>
  </cols>
  <sheetData>
    <row r="2" customFormat="false" ht="19.5" hidden="false" customHeight="true" outlineLevel="0" collapsed="false">
      <c r="B2" s="2" t="s">
        <v>33</v>
      </c>
    </row>
    <row r="3" customFormat="false" ht="15" hidden="false" customHeight="true" outlineLevel="0" collapsed="false">
      <c r="B3" s="3" t="s">
        <v>34</v>
      </c>
    </row>
    <row r="5" customFormat="false" ht="15" hidden="false" customHeight="true" outlineLevel="0" collapsed="false">
      <c r="B5" s="32" t="s">
        <v>35</v>
      </c>
      <c r="C5" s="32" t="s">
        <v>36</v>
      </c>
      <c r="D5" s="32" t="s">
        <v>37</v>
      </c>
      <c r="E5" s="32" t="s">
        <v>38</v>
      </c>
      <c r="F5" s="32" t="s">
        <v>39</v>
      </c>
      <c r="G5" s="32" t="s">
        <v>40</v>
      </c>
      <c r="H5" s="32" t="s">
        <v>41</v>
      </c>
    </row>
    <row r="6" customFormat="false" ht="30" hidden="false" customHeight="true" outlineLevel="0" collapsed="false">
      <c r="B6" s="33" t="s">
        <v>42</v>
      </c>
      <c r="C6" s="34" t="s">
        <v>43</v>
      </c>
      <c r="D6" s="35" t="s">
        <v>44</v>
      </c>
      <c r="E6" s="35" t="s">
        <v>45</v>
      </c>
      <c r="F6" s="36" t="n">
        <f aca="false">'Carta Gantt'!$E$5+(1-1)*7</f>
        <v>46244</v>
      </c>
      <c r="G6" s="36" t="n">
        <f aca="false">'Carta Gantt'!$E$5+(4-1)*7+6</f>
        <v>46271</v>
      </c>
      <c r="H6" s="37" t="s">
        <v>22</v>
      </c>
    </row>
    <row r="7" customFormat="false" ht="30" hidden="false" customHeight="true" outlineLevel="0" collapsed="false">
      <c r="B7" s="33" t="s">
        <v>46</v>
      </c>
      <c r="C7" s="34" t="s">
        <v>47</v>
      </c>
      <c r="D7" s="35" t="s">
        <v>48</v>
      </c>
      <c r="E7" s="35" t="s">
        <v>49</v>
      </c>
      <c r="F7" s="36" t="n">
        <f aca="false">'Carta Gantt'!$E$5+(5-1)*7</f>
        <v>46272</v>
      </c>
      <c r="G7" s="36" t="n">
        <f aca="false">'Carta Gantt'!$E$5+(6-1)*7+6</f>
        <v>46285</v>
      </c>
      <c r="H7" s="37" t="s">
        <v>22</v>
      </c>
    </row>
    <row r="8" customFormat="false" ht="30" hidden="false" customHeight="true" outlineLevel="0" collapsed="false">
      <c r="B8" s="33" t="s">
        <v>50</v>
      </c>
      <c r="C8" s="34" t="s">
        <v>51</v>
      </c>
      <c r="D8" s="35" t="s">
        <v>52</v>
      </c>
      <c r="E8" s="35" t="s">
        <v>53</v>
      </c>
      <c r="F8" s="36" t="n">
        <f aca="false">'Carta Gantt'!$E$5+(7-1)*7</f>
        <v>46286</v>
      </c>
      <c r="G8" s="36" t="n">
        <f aca="false">'Carta Gantt'!$E$5+(8-1)*7+6</f>
        <v>46299</v>
      </c>
      <c r="H8" s="38" t="s">
        <v>23</v>
      </c>
    </row>
    <row r="9" customFormat="false" ht="30" hidden="false" customHeight="true" outlineLevel="0" collapsed="false">
      <c r="B9" s="33" t="s">
        <v>11</v>
      </c>
      <c r="C9" s="34" t="s">
        <v>54</v>
      </c>
      <c r="D9" s="35" t="s">
        <v>55</v>
      </c>
      <c r="E9" s="35" t="s">
        <v>56</v>
      </c>
      <c r="F9" s="36" t="n">
        <f aca="false">'Carta Gantt'!$E$5+(9-1)*7</f>
        <v>46300</v>
      </c>
      <c r="G9" s="36" t="n">
        <f aca="false">'Carta Gantt'!$E$5+(9-1)*7+6</f>
        <v>46306</v>
      </c>
      <c r="H9" s="39" t="s">
        <v>24</v>
      </c>
    </row>
    <row r="10" customFormat="false" ht="30" hidden="false" customHeight="true" outlineLevel="0" collapsed="false">
      <c r="B10" s="33" t="s">
        <v>57</v>
      </c>
      <c r="C10" s="34" t="s">
        <v>58</v>
      </c>
      <c r="D10" s="35" t="s">
        <v>59</v>
      </c>
      <c r="E10" s="35" t="s">
        <v>60</v>
      </c>
      <c r="F10" s="36" t="n">
        <f aca="false">'Carta Gantt'!$E$5+(10-1)*7</f>
        <v>46307</v>
      </c>
      <c r="G10" s="36" t="n">
        <f aca="false">'Carta Gantt'!$E$5+(10-1)*7+6</f>
        <v>46313</v>
      </c>
      <c r="H10" s="39" t="s">
        <v>24</v>
      </c>
    </row>
    <row r="11" customFormat="false" ht="30" hidden="false" customHeight="true" outlineLevel="0" collapsed="false">
      <c r="B11" s="33" t="s">
        <v>13</v>
      </c>
      <c r="C11" s="34" t="s">
        <v>61</v>
      </c>
      <c r="D11" s="35" t="s">
        <v>62</v>
      </c>
      <c r="E11" s="35" t="s">
        <v>63</v>
      </c>
      <c r="F11" s="36" t="n">
        <f aca="false">'Carta Gantt'!$E$5+(11-1)*7</f>
        <v>46314</v>
      </c>
      <c r="G11" s="36" t="n">
        <f aca="false">'Carta Gantt'!$E$5+(11-1)*7+6</f>
        <v>46320</v>
      </c>
      <c r="H11" s="39" t="s">
        <v>24</v>
      </c>
    </row>
    <row r="12" customFormat="false" ht="30" hidden="false" customHeight="true" outlineLevel="0" collapsed="false">
      <c r="B12" s="33" t="s">
        <v>14</v>
      </c>
      <c r="C12" s="34" t="s">
        <v>64</v>
      </c>
      <c r="D12" s="35" t="s">
        <v>65</v>
      </c>
      <c r="E12" s="35" t="s">
        <v>66</v>
      </c>
      <c r="F12" s="36" t="n">
        <f aca="false">'Carta Gantt'!$E$5+(12-1)*7</f>
        <v>46321</v>
      </c>
      <c r="G12" s="36" t="n">
        <f aca="false">'Carta Gantt'!$E$5+(12-1)*7+6</f>
        <v>46327</v>
      </c>
      <c r="H12" s="39" t="s">
        <v>24</v>
      </c>
    </row>
    <row r="13" customFormat="false" ht="30" hidden="false" customHeight="true" outlineLevel="0" collapsed="false">
      <c r="B13" s="33" t="s">
        <v>15</v>
      </c>
      <c r="C13" s="34" t="s">
        <v>67</v>
      </c>
      <c r="D13" s="35" t="s">
        <v>68</v>
      </c>
      <c r="E13" s="35" t="s">
        <v>69</v>
      </c>
      <c r="F13" s="36" t="n">
        <f aca="false">'Carta Gantt'!$E$5+(13-1)*7</f>
        <v>46328</v>
      </c>
      <c r="G13" s="36" t="n">
        <f aca="false">'Carta Gantt'!$E$5+(13-1)*7+6</f>
        <v>46334</v>
      </c>
      <c r="H13" s="39" t="s">
        <v>24</v>
      </c>
    </row>
    <row r="14" customFormat="false" ht="30" hidden="false" customHeight="true" outlineLevel="0" collapsed="false">
      <c r="B14" s="33" t="s">
        <v>16</v>
      </c>
      <c r="C14" s="34" t="s">
        <v>70</v>
      </c>
      <c r="D14" s="35" t="s">
        <v>71</v>
      </c>
      <c r="E14" s="35" t="s">
        <v>72</v>
      </c>
      <c r="F14" s="36" t="n">
        <f aca="false">'Carta Gantt'!$E$5+(14-1)*7</f>
        <v>46335</v>
      </c>
      <c r="G14" s="36" t="n">
        <f aca="false">'Carta Gantt'!$E$5+(14-1)*7+6</f>
        <v>46341</v>
      </c>
      <c r="H14" s="39" t="s">
        <v>24</v>
      </c>
    </row>
    <row r="15" customFormat="false" ht="30" hidden="false" customHeight="true" outlineLevel="0" collapsed="false">
      <c r="B15" s="33" t="s">
        <v>73</v>
      </c>
      <c r="C15" s="34" t="s">
        <v>74</v>
      </c>
      <c r="D15" s="35" t="s">
        <v>44</v>
      </c>
      <c r="E15" s="35" t="s">
        <v>75</v>
      </c>
      <c r="F15" s="36" t="n">
        <f aca="false">'Carta Gantt'!$E$5+(15-1)*7</f>
        <v>46342</v>
      </c>
      <c r="G15" s="36" t="n">
        <f aca="false">'Carta Gantt'!$E$5+(15-1)*7+6</f>
        <v>46348</v>
      </c>
      <c r="H15" s="39" t="s">
        <v>24</v>
      </c>
    </row>
    <row r="16" customFormat="false" ht="30" hidden="false" customHeight="true" outlineLevel="0" collapsed="false">
      <c r="B16" s="33" t="s">
        <v>76</v>
      </c>
      <c r="C16" s="34" t="s">
        <v>77</v>
      </c>
      <c r="D16" s="35" t="s">
        <v>44</v>
      </c>
      <c r="E16" s="35" t="s">
        <v>78</v>
      </c>
      <c r="F16" s="36" t="n">
        <f aca="false">'Carta Gantt'!$E$5+(16-1)*7</f>
        <v>46349</v>
      </c>
      <c r="G16" s="36" t="n">
        <f aca="false">'Carta Gantt'!$E$5+(18-1)*7+6</f>
        <v>46369</v>
      </c>
      <c r="H16" s="39" t="s">
        <v>24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42"/>
    <col collapsed="false" customWidth="true" hidden="false" outlineLevel="0" max="5" min="5" style="1" width="18"/>
    <col collapsed="false" customWidth="true" hidden="false" outlineLevel="0" max="6" min="6" style="1" width="10"/>
  </cols>
  <sheetData>
    <row r="2" customFormat="false" ht="19.5" hidden="false" customHeight="true" outlineLevel="0" collapsed="false">
      <c r="B2" s="2" t="s">
        <v>79</v>
      </c>
    </row>
    <row r="3" customFormat="false" ht="15" hidden="false" customHeight="true" outlineLevel="0" collapsed="false">
      <c r="B3" s="3" t="s">
        <v>80</v>
      </c>
    </row>
    <row r="5" customFormat="false" ht="15" hidden="false" customHeight="true" outlineLevel="0" collapsed="false">
      <c r="B5" s="32" t="s">
        <v>81</v>
      </c>
      <c r="C5" s="32" t="s">
        <v>82</v>
      </c>
      <c r="D5" s="32" t="s">
        <v>83</v>
      </c>
      <c r="E5" s="32" t="s">
        <v>84</v>
      </c>
      <c r="F5" s="32" t="s">
        <v>85</v>
      </c>
    </row>
    <row r="6" customFormat="false" ht="25.5" hidden="false" customHeight="true" outlineLevel="0" collapsed="false">
      <c r="B6" s="40" t="s">
        <v>52</v>
      </c>
      <c r="C6" s="34" t="s">
        <v>86</v>
      </c>
      <c r="D6" s="34" t="s">
        <v>87</v>
      </c>
      <c r="E6" s="35" t="s">
        <v>88</v>
      </c>
      <c r="F6" s="35" t="n">
        <v>5</v>
      </c>
    </row>
    <row r="7" customFormat="false" ht="25.5" hidden="false" customHeight="true" outlineLevel="0" collapsed="false">
      <c r="B7" s="40" t="s">
        <v>55</v>
      </c>
      <c r="C7" s="34" t="s">
        <v>89</v>
      </c>
      <c r="D7" s="34" t="s">
        <v>90</v>
      </c>
      <c r="E7" s="35" t="s">
        <v>91</v>
      </c>
      <c r="F7" s="35" t="n">
        <v>3</v>
      </c>
    </row>
    <row r="8" customFormat="false" ht="25.5" hidden="false" customHeight="true" outlineLevel="0" collapsed="false">
      <c r="B8" s="40" t="s">
        <v>92</v>
      </c>
      <c r="C8" s="34" t="s">
        <v>93</v>
      </c>
      <c r="D8" s="34" t="s">
        <v>94</v>
      </c>
      <c r="E8" s="35" t="s">
        <v>95</v>
      </c>
      <c r="F8" s="35" t="n">
        <v>2</v>
      </c>
    </row>
    <row r="9" customFormat="false" ht="25.5" hidden="false" customHeight="true" outlineLevel="0" collapsed="false">
      <c r="B9" s="40" t="s">
        <v>96</v>
      </c>
      <c r="C9" s="34" t="s">
        <v>97</v>
      </c>
      <c r="D9" s="34" t="s">
        <v>98</v>
      </c>
      <c r="E9" s="35" t="s">
        <v>95</v>
      </c>
      <c r="F9" s="35" t="n">
        <v>2</v>
      </c>
    </row>
    <row r="10" customFormat="false" ht="25.5" hidden="false" customHeight="true" outlineLevel="0" collapsed="false">
      <c r="B10" s="40" t="s">
        <v>99</v>
      </c>
      <c r="C10" s="34" t="s">
        <v>100</v>
      </c>
      <c r="D10" s="34" t="s">
        <v>101</v>
      </c>
      <c r="E10" s="35" t="s">
        <v>102</v>
      </c>
      <c r="F10" s="35" t="n">
        <v>3</v>
      </c>
    </row>
    <row r="11" customFormat="false" ht="25.5" hidden="false" customHeight="true" outlineLevel="0" collapsed="false">
      <c r="B11" s="40" t="s">
        <v>103</v>
      </c>
      <c r="C11" s="34" t="s">
        <v>104</v>
      </c>
      <c r="D11" s="34" t="s">
        <v>105</v>
      </c>
      <c r="E11" s="35" t="s">
        <v>102</v>
      </c>
      <c r="F11" s="35" t="n">
        <v>2</v>
      </c>
    </row>
    <row r="12" customFormat="false" ht="25.5" hidden="false" customHeight="true" outlineLevel="0" collapsed="false">
      <c r="B12" s="40" t="s">
        <v>106</v>
      </c>
      <c r="C12" s="34" t="s">
        <v>107</v>
      </c>
      <c r="D12" s="34" t="s">
        <v>108</v>
      </c>
      <c r="E12" s="35" t="s">
        <v>109</v>
      </c>
      <c r="F12" s="35" t="n">
        <v>2</v>
      </c>
    </row>
    <row r="13" customFormat="false" ht="25.5" hidden="false" customHeight="true" outlineLevel="0" collapsed="false">
      <c r="B13" s="40" t="s">
        <v>110</v>
      </c>
      <c r="C13" s="34" t="s">
        <v>111</v>
      </c>
      <c r="D13" s="34" t="s">
        <v>112</v>
      </c>
      <c r="E13" s="35" t="s">
        <v>109</v>
      </c>
      <c r="F13" s="35" t="n">
        <v>2</v>
      </c>
    </row>
    <row r="14" customFormat="false" ht="25.5" hidden="false" customHeight="true" outlineLevel="0" collapsed="false">
      <c r="B14" s="40" t="s">
        <v>68</v>
      </c>
      <c r="C14" s="34" t="s">
        <v>113</v>
      </c>
      <c r="D14" s="34" t="s">
        <v>114</v>
      </c>
      <c r="E14" s="35" t="s">
        <v>115</v>
      </c>
      <c r="F14" s="35" t="n">
        <v>3</v>
      </c>
    </row>
    <row r="15" customFormat="false" ht="25.5" hidden="false" customHeight="true" outlineLevel="0" collapsed="false">
      <c r="B15" s="40" t="s">
        <v>71</v>
      </c>
      <c r="C15" s="34" t="s">
        <v>116</v>
      </c>
      <c r="D15" s="34" t="s">
        <v>117</v>
      </c>
      <c r="E15" s="35" t="s">
        <v>118</v>
      </c>
      <c r="F15" s="35" t="n">
        <v>2</v>
      </c>
    </row>
    <row r="16" customFormat="false" ht="15" hidden="false" customHeight="true" outlineLevel="0" collapsed="false">
      <c r="B16" s="16"/>
      <c r="C16" s="41" t="s">
        <v>119</v>
      </c>
      <c r="D16" s="16"/>
      <c r="E16" s="16"/>
      <c r="F16" s="41" t="n">
        <f aca="false">SUM(F6:F15)</f>
        <v>26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2026-09-21T07:12:05Z</dcterms:created>
  <dc:creator>openpyxl</dc:creator>
  <dc:description/>
  <dc:language>en-US</dc:language>
  <cp:lastModifiedBy/>
  <dcterms:modified xsi:type="dcterms:W3CDTF">2026-09-21T07:20:30Z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